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4 강의교재_동영상\02 동영상 자료_준비중\onc108 끝내주는 보고서와 업무 자동화를 위한 AI 활용 실전 테크닉\03 PPT_실습파일\실습자료_v1.0\03 엑셀 시스템 구축\완성\"/>
    </mc:Choice>
  </mc:AlternateContent>
  <xr:revisionPtr revIDLastSave="0" documentId="13_ncr:1_{49D4AC4D-DFF0-44C1-BE41-3AA96CAA1C9C}" xr6:coauthVersionLast="47" xr6:coauthVersionMax="47" xr10:uidLastSave="{00000000-0000-0000-0000-000000000000}"/>
  <bookViews>
    <workbookView xWindow="-120" yWindow="-120" windowWidth="29040" windowHeight="15990" xr2:uid="{673002D8-0F20-4197-BDC9-3F0BC2F20AE8}"/>
  </bookViews>
  <sheets>
    <sheet name="CS" sheetId="2" r:id="rId1"/>
    <sheet name="Log" sheetId="3" r:id="rId2"/>
    <sheet name="customer" sheetId="1" r:id="rId3"/>
  </sheets>
  <definedNames>
    <definedName name="테스트">CS!$J$3:$L$18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9" i="2"/>
  <c r="E6" i="2"/>
  <c r="E8" i="2"/>
</calcChain>
</file>

<file path=xl/sharedStrings.xml><?xml version="1.0" encoding="utf-8"?>
<sst xmlns="http://schemas.openxmlformats.org/spreadsheetml/2006/main" count="172" uniqueCount="96">
  <si>
    <t>성별</t>
  </si>
  <si>
    <t>나이</t>
  </si>
  <si>
    <t>연락처</t>
  </si>
  <si>
    <t>강서윤</t>
  </si>
  <si>
    <t>여성</t>
  </si>
  <si>
    <t>010-3843-9649</t>
  </si>
  <si>
    <t>C</t>
  </si>
  <si>
    <t>오하윤</t>
  </si>
  <si>
    <t>010-5575-4230</t>
  </si>
  <si>
    <t>도지우</t>
  </si>
  <si>
    <t>010-9507-4039</t>
  </si>
  <si>
    <t>윤민준</t>
  </si>
  <si>
    <t>남성</t>
  </si>
  <si>
    <t>010-4066-6133</t>
  </si>
  <si>
    <t>B</t>
  </si>
  <si>
    <t>윤서준</t>
  </si>
  <si>
    <t>010-5056-3686</t>
  </si>
  <si>
    <t>A</t>
  </si>
  <si>
    <t>임민서</t>
  </si>
  <si>
    <t>010-8771-6883</t>
  </si>
  <si>
    <t>홍서연</t>
  </si>
  <si>
    <t>010-8533-1249</t>
  </si>
  <si>
    <t>김수아</t>
  </si>
  <si>
    <t>010-3612-9173</t>
  </si>
  <si>
    <t>최도윤</t>
  </si>
  <si>
    <t>010-2726-5478</t>
  </si>
  <si>
    <t>송지유</t>
  </si>
  <si>
    <t>010-1409-1562</t>
  </si>
  <si>
    <t>임예준</t>
  </si>
  <si>
    <t>010-1082-3848</t>
  </si>
  <si>
    <t>최하은</t>
  </si>
  <si>
    <t>010-6143-6701</t>
  </si>
  <si>
    <t>박윤서</t>
  </si>
  <si>
    <t>010-1334-5428</t>
  </si>
  <si>
    <t>양시우</t>
  </si>
  <si>
    <t>010-8424-7886</t>
  </si>
  <si>
    <t>유채원</t>
  </si>
  <si>
    <t>010-5945-8563</t>
  </si>
  <si>
    <t>윤지아</t>
  </si>
  <si>
    <t>010-3931-8148</t>
  </si>
  <si>
    <t>남주원</t>
  </si>
  <si>
    <t>010-5176-7275</t>
  </si>
  <si>
    <t>한지후</t>
  </si>
  <si>
    <t>010-4500-2534</t>
  </si>
  <si>
    <t>방현우</t>
  </si>
  <si>
    <t>010-9539-2922</t>
  </si>
  <si>
    <t>홍소율</t>
  </si>
  <si>
    <t>010-4109-5120</t>
  </si>
  <si>
    <t>고가윤</t>
  </si>
  <si>
    <t>010-9202-6998</t>
  </si>
  <si>
    <t>임건우</t>
  </si>
  <si>
    <t>010-1533-3114</t>
  </si>
  <si>
    <t>감서현</t>
  </si>
  <si>
    <t>010-2986-9483</t>
  </si>
  <si>
    <t>모우진</t>
  </si>
  <si>
    <t>010-3524-9707</t>
  </si>
  <si>
    <t>소나윤</t>
  </si>
  <si>
    <t>010-5002-7190</t>
  </si>
  <si>
    <t>한지훈</t>
  </si>
  <si>
    <t>010-8960-5942</t>
  </si>
  <si>
    <t>권예린</t>
  </si>
  <si>
    <t>010-8164-7203</t>
  </si>
  <si>
    <t>박다인</t>
  </si>
  <si>
    <t>010-5920-5896</t>
  </si>
  <si>
    <t>감다은</t>
  </si>
  <si>
    <t>010-5159-4371</t>
  </si>
  <si>
    <t>정유진</t>
  </si>
  <si>
    <t>010-3417-1826</t>
  </si>
  <si>
    <t>등급</t>
    <phoneticPr fontId="2" type="noConversion"/>
  </si>
  <si>
    <t>고객명</t>
    <phoneticPr fontId="2" type="noConversion"/>
  </si>
  <si>
    <t>고객ID</t>
    <phoneticPr fontId="2" type="noConversion"/>
  </si>
  <si>
    <t>상담시각</t>
    <phoneticPr fontId="2" type="noConversion"/>
  </si>
  <si>
    <t>처리결과</t>
    <phoneticPr fontId="2" type="noConversion"/>
  </si>
  <si>
    <t>상담내용</t>
    <phoneticPr fontId="2" type="noConversion"/>
  </si>
  <si>
    <t>Customer Service Logging System</t>
    <phoneticPr fontId="2" type="noConversion"/>
  </si>
  <si>
    <t>LogID</t>
    <phoneticPr fontId="2" type="noConversion"/>
  </si>
  <si>
    <t>종결</t>
  </si>
  <si>
    <t>종결</t>
    <phoneticPr fontId="2" type="noConversion"/>
  </si>
  <si>
    <t>재확인 필요</t>
  </si>
  <si>
    <t>진행중</t>
  </si>
  <si>
    <t>CS 테스트</t>
    <phoneticPr fontId="2" type="noConversion"/>
  </si>
  <si>
    <t>해외 여행 중 카드 분실하여 즉시 정지 요청 후 신규 카드 발급 진행</t>
  </si>
  <si>
    <t>기존 급여 이체 계좌를 다른 은행 계좌로 변경 요청</t>
  </si>
  <si>
    <t>현재 대출 상환 일정이 부담되어 상환 기간 연장 가능 여부 확인</t>
  </si>
  <si>
    <t>정기예금과 적금 상품 금리 비교 후 최적의 상품 가입 상담</t>
  </si>
  <si>
    <t>최근 소비 증가로 카드 한도 상향 신청 및 심사 절차 안내</t>
  </si>
  <si>
    <t>대출 금리 인상으로 부담 증가하여 고정금리 전환 가능성 검토</t>
  </si>
  <si>
    <t>세금 체납으로 계좌 압류되었으며 해제 절차 및 필요 서류 상담</t>
  </si>
  <si>
    <t>카드 대금 연체 발생으로 이자 감면 가능 여부와 분할 납부 상담</t>
  </si>
  <si>
    <t>신용등급 올리는 방법 및 대출 이력 관리 방법 상담 요청</t>
  </si>
  <si>
    <t>대량 환전 시 우대환율 적용 가능 여부와 준비 서류 문의</t>
  </si>
  <si>
    <t>ATM에서 비밀번호 5회 오류 발생하여 본인 확인 후 해제 진행</t>
    <phoneticPr fontId="2" type="noConversion"/>
  </si>
  <si>
    <t>전세대출 가능 조건 및 대출 한도, 서류 준비 사항 문의</t>
    <phoneticPr fontId="2" type="noConversion"/>
  </si>
  <si>
    <t>모바일 앱에서 공인인증서 로그인 불가하여 해결 방법 상담</t>
    <phoneticPr fontId="2" type="noConversion"/>
  </si>
  <si>
    <t>사망한 부모님의 계좌 해지 절차 및 필요 서류 안내 요청</t>
    <phoneticPr fontId="2" type="noConversion"/>
  </si>
  <si>
    <t>자동차 할부금을 조기 상환할 경우 발생하는 수수료 안내 요청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</si>
</sst>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6"/>
      <color theme="1"/>
      <name val="나눔스퀘어 ExtraBold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3" xfId="0" applyFill="1" applyBorder="1">
      <alignment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18" xfId="0" applyFill="1" applyBorder="1">
      <alignment vertical="center"/>
    </xf>
    <xf numFmtId="0" fontId="1" fillId="3" borderId="19" xfId="0" applyFont="1" applyFill="1" applyBorder="1" applyAlignment="1">
      <alignment horizontal="center" vertical="center"/>
    </xf>
    <xf numFmtId="0" fontId="0" fillId="3" borderId="19" xfId="0" applyFill="1" applyBorder="1">
      <alignment vertical="center"/>
    </xf>
    <xf numFmtId="0" fontId="0" fillId="3" borderId="20" xfId="0" applyFill="1" applyBorder="1">
      <alignment vertical="center"/>
    </xf>
    <xf numFmtId="0" fontId="0" fillId="4" borderId="6" xfId="0" applyFill="1" applyBorder="1" applyAlignment="1">
      <alignment horizontal="center" vertical="center"/>
    </xf>
    <xf numFmtId="22" fontId="0" fillId="4" borderId="6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6" xfId="0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0" fillId="4" borderId="7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</cellXfs>
  <cellStyles count="1">
    <cellStyle name="표준" xfId="0" builtinId="0"/>
  </cellStyles>
  <dxfs count="13">
    <dxf>
      <border>
        <bottom style="thin">
          <color theme="1" tint="0.499984740745262"/>
        </bottom>
        <vertical/>
        <horizontal/>
      </border>
    </dxf>
    <dxf>
      <fill>
        <patternFill>
          <bgColor theme="5" tint="0.79998168889431442"/>
        </patternFill>
      </fill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border>
        <top style="thin">
          <color theme="1" tint="0.499984740745262"/>
        </top>
      </border>
    </dxf>
    <dxf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theme="1" tint="0.499984740745262"/>
        </bottom>
      </border>
    </dxf>
    <dxf>
      <font>
        <b/>
        <family val="3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14</xdr:row>
      <xdr:rowOff>209549</xdr:rowOff>
    </xdr:from>
    <xdr:to>
      <xdr:col>5</xdr:col>
      <xdr:colOff>304800</xdr:colOff>
      <xdr:row>17</xdr:row>
      <xdr:rowOff>76200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32B6D7EA-A1D6-AA33-D17B-7197C482F6D5}"/>
            </a:ext>
          </a:extLst>
        </xdr:cNvPr>
        <xdr:cNvGrpSpPr/>
      </xdr:nvGrpSpPr>
      <xdr:grpSpPr>
        <a:xfrm>
          <a:off x="1466850" y="3676649"/>
          <a:ext cx="2047875" cy="609601"/>
          <a:chOff x="1466850" y="3676649"/>
          <a:chExt cx="2047875" cy="609601"/>
        </a:xfrm>
      </xdr:grpSpPr>
      <xdr:sp macro="" textlink="">
        <xdr:nvSpPr>
          <xdr:cNvPr id="2" name="사각형: 둥근 모서리 1">
            <a:extLst>
              <a:ext uri="{FF2B5EF4-FFF2-40B4-BE49-F238E27FC236}">
                <a16:creationId xmlns:a16="http://schemas.microsoft.com/office/drawing/2014/main" id="{6166EE8D-AB64-6343-F7A0-88CE649676DE}"/>
              </a:ext>
            </a:extLst>
          </xdr:cNvPr>
          <xdr:cNvSpPr/>
        </xdr:nvSpPr>
        <xdr:spPr>
          <a:xfrm>
            <a:off x="1466850" y="3676649"/>
            <a:ext cx="2047875" cy="609601"/>
          </a:xfrm>
          <a:prstGeom prst="round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0" baseline="0">
                <a:latin typeface="나눔스퀘어 ExtraBold" panose="020B0600000101010101" pitchFamily="50" charset="-127"/>
                <a:ea typeface="나눔스퀘어 ExtraBold" panose="020B0600000101010101" pitchFamily="50" charset="-127"/>
              </a:rPr>
              <a:t>      </a:t>
            </a:r>
            <a:r>
              <a:rPr lang="ko-KR" altLang="en-US" sz="1400" b="0">
                <a:latin typeface="나눔스퀘어 ExtraBold" panose="020B0600000101010101" pitchFamily="50" charset="-127"/>
                <a:ea typeface="나눔스퀘어 ExtraBold" panose="020B0600000101010101" pitchFamily="50" charset="-127"/>
              </a:rPr>
              <a:t>기록하기</a:t>
            </a:r>
          </a:p>
        </xdr:txBody>
      </xdr:sp>
      <xdr:pic>
        <xdr:nvPicPr>
          <xdr:cNvPr id="3" name="그림 2" descr="확인 됨 ">
            <a:extLst>
              <a:ext uri="{FF2B5EF4-FFF2-40B4-BE49-F238E27FC236}">
                <a16:creationId xmlns:a16="http://schemas.microsoft.com/office/drawing/2014/main" id="{8E29793B-F39A-C262-3160-D146CD341CE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7850" y="3790950"/>
            <a:ext cx="371475" cy="3714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002EE-48CA-46EB-AD6C-51DB6F4FCFFE}" name="customer" displayName="customer" ref="A1:F31" totalsRowShown="0" headerRowDxfId="12" dataDxfId="10" headerRowBorderDxfId="11" tableBorderDxfId="9" totalsRowBorderDxfId="8">
  <autoFilter ref="A1:F31" xr:uid="{DFF002EE-48CA-46EB-AD6C-51DB6F4FCF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D736E-354B-4F16-9C00-0BE5BFDD90AA}" name="고객ID" dataDxfId="7"/>
    <tableColumn id="2" xr3:uid="{D956DC5D-DA78-4BCE-B97F-8DDAFBE1E8C7}" name="고객명" dataDxfId="6"/>
    <tableColumn id="3" xr3:uid="{99BBD4C2-D6EA-46F1-891F-16964AFC5B2B}" name="성별" dataDxfId="5"/>
    <tableColumn id="4" xr3:uid="{8D0317AB-4243-468E-B013-073148101F9B}" name="나이" dataDxfId="4"/>
    <tableColumn id="5" xr3:uid="{4F2498F5-37A1-4DA9-8FB3-1C973FF9D66C}" name="연락처" dataDxfId="3"/>
    <tableColumn id="6" xr3:uid="{7B3071C9-EBC0-45E8-BAD8-3CCCC0EA39D1}" name="등급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7FD0-9807-4943-B7E2-E5FE119D1D9A}">
  <sheetPr codeName="Sheet1"/>
  <dimension ref="B1:L18"/>
  <sheetViews>
    <sheetView showGridLines="0" tabSelected="1" workbookViewId="0">
      <selection activeCell="K1" sqref="K1"/>
    </sheetView>
  </sheetViews>
  <sheetFormatPr defaultRowHeight="20.100000000000001" customHeight="1" x14ac:dyDescent="0.25"/>
  <cols>
    <col min="1" max="1" width="3.7109375" customWidth="1"/>
    <col min="2" max="2" width="3.5703125" customWidth="1"/>
    <col min="3" max="3" width="9.140625" style="5"/>
    <col min="4" max="4" width="1.28515625" customWidth="1"/>
    <col min="5" max="5" width="30.42578125" customWidth="1"/>
    <col min="8" max="8" width="3.7109375" customWidth="1"/>
    <col min="9" max="9" width="9.140625" customWidth="1"/>
    <col min="10" max="10" width="14.85546875" customWidth="1"/>
    <col min="11" max="11" width="18.42578125" customWidth="1"/>
    <col min="12" max="12" width="58" customWidth="1"/>
  </cols>
  <sheetData>
    <row r="1" spans="2:12" ht="20.100000000000001" customHeight="1" thickBot="1" x14ac:dyDescent="0.3"/>
    <row r="2" spans="2:12" ht="20.100000000000001" customHeight="1" x14ac:dyDescent="0.25">
      <c r="B2" s="7"/>
      <c r="C2" s="8"/>
      <c r="D2" s="9"/>
      <c r="E2" s="9"/>
      <c r="F2" s="9"/>
      <c r="G2" s="9"/>
      <c r="H2" s="10"/>
      <c r="J2" s="25" t="s">
        <v>80</v>
      </c>
    </row>
    <row r="3" spans="2:12" ht="20.100000000000001" customHeight="1" x14ac:dyDescent="0.25">
      <c r="B3" s="11"/>
      <c r="C3" s="27" t="s">
        <v>74</v>
      </c>
      <c r="D3" s="27"/>
      <c r="E3" s="27"/>
      <c r="F3" s="27"/>
      <c r="G3" s="27"/>
      <c r="H3" s="12"/>
      <c r="J3" s="24" t="s">
        <v>70</v>
      </c>
      <c r="K3" s="24" t="s">
        <v>72</v>
      </c>
      <c r="L3" s="24" t="s">
        <v>73</v>
      </c>
    </row>
    <row r="4" spans="2:12" ht="20.100000000000001" customHeight="1" x14ac:dyDescent="0.25">
      <c r="B4" s="11"/>
      <c r="C4" s="13"/>
      <c r="D4" s="14"/>
      <c r="E4" s="14"/>
      <c r="F4" s="14"/>
      <c r="G4" s="14"/>
      <c r="H4" s="12"/>
      <c r="J4" s="6">
        <v>1024</v>
      </c>
      <c r="K4" s="6" t="s">
        <v>79</v>
      </c>
      <c r="L4" s="26" t="s">
        <v>81</v>
      </c>
    </row>
    <row r="5" spans="2:12" ht="20.100000000000001" customHeight="1" x14ac:dyDescent="0.25">
      <c r="B5" s="11"/>
      <c r="C5" s="13" t="s">
        <v>70</v>
      </c>
      <c r="D5" s="14"/>
      <c r="E5" s="19">
        <v>1029</v>
      </c>
      <c r="F5" s="14"/>
      <c r="G5" s="14"/>
      <c r="H5" s="12"/>
      <c r="J5" s="6">
        <v>1027</v>
      </c>
      <c r="K5" s="6" t="s">
        <v>78</v>
      </c>
      <c r="L5" s="26" t="s">
        <v>83</v>
      </c>
    </row>
    <row r="6" spans="2:12" ht="20.100000000000001" customHeight="1" x14ac:dyDescent="0.25">
      <c r="B6" s="11"/>
      <c r="C6" s="13" t="s">
        <v>69</v>
      </c>
      <c r="D6" s="14"/>
      <c r="E6" s="19" t="str">
        <f>VLOOKUP(E5,customer[],2,0)</f>
        <v>감다은</v>
      </c>
      <c r="F6" s="14"/>
      <c r="G6" s="14"/>
      <c r="H6" s="12"/>
      <c r="J6" s="6">
        <v>1006</v>
      </c>
      <c r="K6" s="6" t="s">
        <v>79</v>
      </c>
      <c r="L6" s="26" t="s">
        <v>84</v>
      </c>
    </row>
    <row r="7" spans="2:12" ht="20.100000000000001" customHeight="1" x14ac:dyDescent="0.25">
      <c r="B7" s="11"/>
      <c r="C7" s="13"/>
      <c r="D7" s="14"/>
      <c r="E7" s="14"/>
      <c r="F7" s="14"/>
      <c r="G7" s="14"/>
      <c r="H7" s="12"/>
      <c r="J7" s="6">
        <v>1004</v>
      </c>
      <c r="K7" s="6" t="s">
        <v>79</v>
      </c>
      <c r="L7" s="26" t="s">
        <v>86</v>
      </c>
    </row>
    <row r="8" spans="2:12" ht="20.100000000000001" customHeight="1" x14ac:dyDescent="0.25">
      <c r="B8" s="11"/>
      <c r="C8" s="13" t="s">
        <v>71</v>
      </c>
      <c r="D8" s="14"/>
      <c r="E8" s="20">
        <f ca="1">NOW()</f>
        <v>45718.662985763891</v>
      </c>
      <c r="F8" s="14"/>
      <c r="G8" s="14"/>
      <c r="H8" s="12"/>
      <c r="J8" s="6">
        <v>1020</v>
      </c>
      <c r="K8" s="6" t="s">
        <v>77</v>
      </c>
      <c r="L8" s="26" t="s">
        <v>91</v>
      </c>
    </row>
    <row r="9" spans="2:12" ht="20.100000000000001" customHeight="1" x14ac:dyDescent="0.25">
      <c r="B9" s="11"/>
      <c r="C9" s="13" t="s">
        <v>72</v>
      </c>
      <c r="D9" s="14"/>
      <c r="E9" s="19" t="str">
        <f>VLOOKUP(VALUE(E5),테스트,2,0)</f>
        <v>재확인 필요</v>
      </c>
      <c r="F9" s="14"/>
      <c r="G9" s="14"/>
      <c r="H9" s="12"/>
      <c r="J9" s="6">
        <v>1018</v>
      </c>
      <c r="K9" s="6" t="s">
        <v>76</v>
      </c>
      <c r="L9" s="26" t="s">
        <v>82</v>
      </c>
    </row>
    <row r="10" spans="2:12" ht="20.100000000000001" customHeight="1" x14ac:dyDescent="0.25">
      <c r="B10" s="11"/>
      <c r="C10" s="13"/>
      <c r="D10" s="14"/>
      <c r="E10" s="14"/>
      <c r="F10" s="14"/>
      <c r="G10" s="14"/>
      <c r="H10" s="12"/>
      <c r="J10" s="6">
        <v>1019</v>
      </c>
      <c r="K10" s="6" t="s">
        <v>77</v>
      </c>
      <c r="L10" s="26" t="s">
        <v>92</v>
      </c>
    </row>
    <row r="11" spans="2:12" ht="20.100000000000001" customHeight="1" x14ac:dyDescent="0.25">
      <c r="B11" s="11"/>
      <c r="C11" s="13" t="s">
        <v>73</v>
      </c>
      <c r="D11" s="14"/>
      <c r="E11" s="28" t="str">
        <f>VLOOKUP(E5,테스트,3,0)</f>
        <v>세금 체납으로 계좌 압류되었으며 해제 절차 및 필요 서류 상담</v>
      </c>
      <c r="F11" s="29"/>
      <c r="G11" s="30"/>
      <c r="H11" s="12"/>
      <c r="J11" s="6">
        <v>1012</v>
      </c>
      <c r="K11" s="6" t="s">
        <v>77</v>
      </c>
      <c r="L11" s="26" t="s">
        <v>93</v>
      </c>
    </row>
    <row r="12" spans="2:12" ht="20.100000000000001" customHeight="1" x14ac:dyDescent="0.25">
      <c r="B12" s="11"/>
      <c r="C12" s="13"/>
      <c r="D12" s="14"/>
      <c r="E12" s="31"/>
      <c r="F12" s="32"/>
      <c r="G12" s="33"/>
      <c r="H12" s="12"/>
      <c r="J12" s="6">
        <v>1021</v>
      </c>
      <c r="K12" s="6" t="s">
        <v>79</v>
      </c>
      <c r="L12" s="26" t="s">
        <v>88</v>
      </c>
    </row>
    <row r="13" spans="2:12" ht="20.100000000000001" customHeight="1" x14ac:dyDescent="0.25">
      <c r="B13" s="11"/>
      <c r="C13" s="13"/>
      <c r="D13" s="14"/>
      <c r="E13" s="31"/>
      <c r="F13" s="32"/>
      <c r="G13" s="33"/>
      <c r="H13" s="12"/>
      <c r="J13" s="6">
        <v>1017</v>
      </c>
      <c r="K13" s="6" t="s">
        <v>77</v>
      </c>
      <c r="L13" s="26" t="s">
        <v>94</v>
      </c>
    </row>
    <row r="14" spans="2:12" ht="20.100000000000001" customHeight="1" x14ac:dyDescent="0.25">
      <c r="B14" s="11"/>
      <c r="C14" s="13"/>
      <c r="D14" s="14"/>
      <c r="E14" s="34"/>
      <c r="F14" s="35"/>
      <c r="G14" s="36"/>
      <c r="H14" s="12"/>
      <c r="J14" s="6">
        <v>1029</v>
      </c>
      <c r="K14" s="6" t="s">
        <v>78</v>
      </c>
      <c r="L14" s="26" t="s">
        <v>87</v>
      </c>
    </row>
    <row r="15" spans="2:12" ht="20.100000000000001" customHeight="1" x14ac:dyDescent="0.25">
      <c r="B15" s="11"/>
      <c r="C15" s="13"/>
      <c r="D15" s="14"/>
      <c r="E15" s="21"/>
      <c r="F15" s="21"/>
      <c r="G15" s="21"/>
      <c r="H15" s="12"/>
      <c r="J15" s="6">
        <v>1013</v>
      </c>
      <c r="K15" s="6" t="s">
        <v>78</v>
      </c>
      <c r="L15" s="26" t="s">
        <v>90</v>
      </c>
    </row>
    <row r="16" spans="2:12" ht="20.100000000000001" customHeight="1" x14ac:dyDescent="0.25">
      <c r="B16" s="11"/>
      <c r="C16" s="13"/>
      <c r="D16" s="14"/>
      <c r="E16" s="21"/>
      <c r="F16" s="21"/>
      <c r="G16" s="21"/>
      <c r="H16" s="12"/>
      <c r="J16" s="6">
        <v>1022</v>
      </c>
      <c r="K16" s="6" t="s">
        <v>77</v>
      </c>
      <c r="L16" s="26" t="s">
        <v>95</v>
      </c>
    </row>
    <row r="17" spans="2:12" ht="20.100000000000001" customHeight="1" x14ac:dyDescent="0.25">
      <c r="B17" s="11"/>
      <c r="C17" s="13"/>
      <c r="D17" s="14"/>
      <c r="E17" s="21"/>
      <c r="F17" s="21"/>
      <c r="G17" s="21"/>
      <c r="H17" s="12"/>
      <c r="J17" s="6">
        <v>1008</v>
      </c>
      <c r="K17" s="6" t="s">
        <v>76</v>
      </c>
      <c r="L17" s="26" t="s">
        <v>85</v>
      </c>
    </row>
    <row r="18" spans="2:12" ht="21" customHeight="1" thickBot="1" x14ac:dyDescent="0.3">
      <c r="B18" s="15"/>
      <c r="C18" s="16"/>
      <c r="D18" s="17"/>
      <c r="E18" s="17"/>
      <c r="F18" s="17"/>
      <c r="G18" s="17"/>
      <c r="H18" s="18"/>
      <c r="J18" s="6">
        <v>1025</v>
      </c>
      <c r="K18" s="6" t="s">
        <v>79</v>
      </c>
      <c r="L18" s="26" t="s">
        <v>89</v>
      </c>
    </row>
  </sheetData>
  <sortState xmlns:xlrd2="http://schemas.microsoft.com/office/spreadsheetml/2017/richdata2" ref="N3:N17">
    <sortCondition ref="N3:N17"/>
  </sortState>
  <mergeCells count="2">
    <mergeCell ref="C3:G3"/>
    <mergeCell ref="E11:G14"/>
  </mergeCells>
  <phoneticPr fontId="2" type="noConversion"/>
  <dataValidations count="1">
    <dataValidation type="list" allowBlank="1" showInputMessage="1" showErrorMessage="1" sqref="E5" xr:uid="{2DF7C9F4-AD76-4088-BEB9-CC4C36C2E77B}">
      <formula1>$J$4:$J$18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963-3FD7-4ECC-B8D8-29FF9E27BF35}">
  <sheetPr codeName="Sheet2"/>
  <dimension ref="A1:F5"/>
  <sheetViews>
    <sheetView showGridLines="0" workbookViewId="0">
      <selection activeCell="A2" sqref="A2"/>
    </sheetView>
  </sheetViews>
  <sheetFormatPr defaultRowHeight="21.95" customHeight="1" x14ac:dyDescent="0.25"/>
  <cols>
    <col min="1" max="1" width="9.140625" style="1"/>
    <col min="2" max="2" width="21.5703125" style="1" customWidth="1"/>
    <col min="3" max="3" width="11.5703125" style="1" customWidth="1"/>
    <col min="4" max="4" width="12.140625" style="1" customWidth="1"/>
    <col min="5" max="5" width="15.85546875" style="1" customWidth="1"/>
    <col min="6" max="6" width="73.140625" customWidth="1"/>
  </cols>
  <sheetData>
    <row r="1" spans="1:6" ht="21.95" customHeight="1" x14ac:dyDescent="0.25">
      <c r="A1" s="22" t="s">
        <v>75</v>
      </c>
      <c r="B1" s="22" t="s">
        <v>71</v>
      </c>
      <c r="C1" s="22" t="s">
        <v>70</v>
      </c>
      <c r="D1" s="22" t="s">
        <v>69</v>
      </c>
      <c r="E1" s="22" t="s">
        <v>72</v>
      </c>
      <c r="F1" s="22" t="s">
        <v>73</v>
      </c>
    </row>
    <row r="2" spans="1:6" ht="21.95" customHeight="1" x14ac:dyDescent="0.25">
      <c r="B2" s="23"/>
    </row>
    <row r="3" spans="1:6" ht="21.95" customHeight="1" x14ac:dyDescent="0.25">
      <c r="B3" s="23"/>
    </row>
    <row r="4" spans="1:6" ht="21.95" customHeight="1" x14ac:dyDescent="0.25">
      <c r="B4" s="23"/>
    </row>
    <row r="5" spans="1:6" ht="21.95" customHeight="1" x14ac:dyDescent="0.25">
      <c r="B5" s="23"/>
    </row>
  </sheetData>
  <phoneticPr fontId="2" type="noConversion"/>
  <conditionalFormatting sqref="A2:F1048576">
    <cfRule type="expression" dxfId="1" priority="1">
      <formula>$E2="재확인 필요"</formula>
    </cfRule>
    <cfRule type="expression" dxfId="0" priority="2">
      <formula>NOT(ISBLANK(A2))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56CE-2497-4614-B462-E112372718B3}">
  <sheetPr codeName="Sheet3"/>
  <dimension ref="A1:F31"/>
  <sheetViews>
    <sheetView showGridLines="0" workbookViewId="0">
      <selection activeCell="C10" sqref="C10"/>
    </sheetView>
  </sheetViews>
  <sheetFormatPr defaultRowHeight="18" customHeight="1" x14ac:dyDescent="0.25"/>
  <cols>
    <col min="1" max="4" width="12.28515625" style="1" customWidth="1"/>
    <col min="5" max="5" width="19.28515625" style="1" customWidth="1"/>
    <col min="6" max="6" width="12.28515625" style="1" customWidth="1"/>
    <col min="7" max="16384" width="9.140625" style="1"/>
  </cols>
  <sheetData>
    <row r="1" spans="1:6" ht="18" customHeight="1" x14ac:dyDescent="0.25">
      <c r="A1" s="2" t="s">
        <v>70</v>
      </c>
      <c r="B1" s="2" t="s">
        <v>69</v>
      </c>
      <c r="C1" s="2" t="s">
        <v>0</v>
      </c>
      <c r="D1" s="2" t="s">
        <v>1</v>
      </c>
      <c r="E1" s="2" t="s">
        <v>2</v>
      </c>
      <c r="F1" s="2" t="s">
        <v>68</v>
      </c>
    </row>
    <row r="2" spans="1:6" ht="18" customHeight="1" x14ac:dyDescent="0.25">
      <c r="A2" s="3">
        <v>1001</v>
      </c>
      <c r="B2" s="3" t="s">
        <v>3</v>
      </c>
      <c r="C2" s="3" t="s">
        <v>4</v>
      </c>
      <c r="D2" s="3">
        <v>62</v>
      </c>
      <c r="E2" s="3" t="s">
        <v>5</v>
      </c>
      <c r="F2" s="3" t="s">
        <v>6</v>
      </c>
    </row>
    <row r="3" spans="1:6" ht="18" customHeight="1" x14ac:dyDescent="0.25">
      <c r="A3" s="3">
        <v>1002</v>
      </c>
      <c r="B3" s="3" t="s">
        <v>7</v>
      </c>
      <c r="C3" s="3" t="s">
        <v>4</v>
      </c>
      <c r="D3" s="3">
        <v>35</v>
      </c>
      <c r="E3" s="3" t="s">
        <v>8</v>
      </c>
      <c r="F3" s="3" t="s">
        <v>6</v>
      </c>
    </row>
    <row r="4" spans="1:6" ht="18" customHeight="1" x14ac:dyDescent="0.25">
      <c r="A4" s="3">
        <v>1003</v>
      </c>
      <c r="B4" s="3" t="s">
        <v>9</v>
      </c>
      <c r="C4" s="3" t="s">
        <v>4</v>
      </c>
      <c r="D4" s="3">
        <v>39</v>
      </c>
      <c r="E4" s="3" t="s">
        <v>10</v>
      </c>
      <c r="F4" s="3" t="s">
        <v>6</v>
      </c>
    </row>
    <row r="5" spans="1:6" ht="18" customHeight="1" x14ac:dyDescent="0.25">
      <c r="A5" s="3">
        <v>1004</v>
      </c>
      <c r="B5" s="3" t="s">
        <v>11</v>
      </c>
      <c r="C5" s="3" t="s">
        <v>12</v>
      </c>
      <c r="D5" s="3">
        <v>67</v>
      </c>
      <c r="E5" s="3" t="s">
        <v>13</v>
      </c>
      <c r="F5" s="3" t="s">
        <v>14</v>
      </c>
    </row>
    <row r="6" spans="1:6" ht="18" customHeight="1" x14ac:dyDescent="0.25">
      <c r="A6" s="3">
        <v>1005</v>
      </c>
      <c r="B6" s="3" t="s">
        <v>15</v>
      </c>
      <c r="C6" s="3" t="s">
        <v>12</v>
      </c>
      <c r="D6" s="3">
        <v>59</v>
      </c>
      <c r="E6" s="3" t="s">
        <v>16</v>
      </c>
      <c r="F6" s="3" t="s">
        <v>17</v>
      </c>
    </row>
    <row r="7" spans="1:6" ht="18" customHeight="1" x14ac:dyDescent="0.25">
      <c r="A7" s="3">
        <v>1006</v>
      </c>
      <c r="B7" s="3" t="s">
        <v>18</v>
      </c>
      <c r="C7" s="3" t="s">
        <v>4</v>
      </c>
      <c r="D7" s="3">
        <v>68</v>
      </c>
      <c r="E7" s="3" t="s">
        <v>19</v>
      </c>
      <c r="F7" s="3" t="s">
        <v>6</v>
      </c>
    </row>
    <row r="8" spans="1:6" ht="18" customHeight="1" x14ac:dyDescent="0.25">
      <c r="A8" s="3">
        <v>1007</v>
      </c>
      <c r="B8" s="3" t="s">
        <v>20</v>
      </c>
      <c r="C8" s="3" t="s">
        <v>4</v>
      </c>
      <c r="D8" s="3">
        <v>42</v>
      </c>
      <c r="E8" s="3" t="s">
        <v>21</v>
      </c>
      <c r="F8" s="3" t="s">
        <v>6</v>
      </c>
    </row>
    <row r="9" spans="1:6" ht="18" customHeight="1" x14ac:dyDescent="0.25">
      <c r="A9" s="3">
        <v>1008</v>
      </c>
      <c r="B9" s="3" t="s">
        <v>22</v>
      </c>
      <c r="C9" s="3" t="s">
        <v>4</v>
      </c>
      <c r="D9" s="3">
        <v>32</v>
      </c>
      <c r="E9" s="3" t="s">
        <v>23</v>
      </c>
      <c r="F9" s="3" t="s">
        <v>6</v>
      </c>
    </row>
    <row r="10" spans="1:6" ht="18" customHeight="1" x14ac:dyDescent="0.25">
      <c r="A10" s="3">
        <v>1009</v>
      </c>
      <c r="B10" s="3" t="s">
        <v>24</v>
      </c>
      <c r="C10" s="3" t="s">
        <v>12</v>
      </c>
      <c r="D10" s="3">
        <v>33</v>
      </c>
      <c r="E10" s="3" t="s">
        <v>25</v>
      </c>
      <c r="F10" s="3" t="s">
        <v>14</v>
      </c>
    </row>
    <row r="11" spans="1:6" ht="18" customHeight="1" x14ac:dyDescent="0.25">
      <c r="A11" s="3">
        <v>1010</v>
      </c>
      <c r="B11" s="3" t="s">
        <v>26</v>
      </c>
      <c r="C11" s="3" t="s">
        <v>4</v>
      </c>
      <c r="D11" s="3">
        <v>47</v>
      </c>
      <c r="E11" s="3" t="s">
        <v>27</v>
      </c>
      <c r="F11" s="3" t="s">
        <v>17</v>
      </c>
    </row>
    <row r="12" spans="1:6" ht="18" customHeight="1" x14ac:dyDescent="0.25">
      <c r="A12" s="3">
        <v>1011</v>
      </c>
      <c r="B12" s="3" t="s">
        <v>28</v>
      </c>
      <c r="C12" s="3" t="s">
        <v>12</v>
      </c>
      <c r="D12" s="3">
        <v>60</v>
      </c>
      <c r="E12" s="3" t="s">
        <v>29</v>
      </c>
      <c r="F12" s="3" t="s">
        <v>6</v>
      </c>
    </row>
    <row r="13" spans="1:6" ht="18" customHeight="1" x14ac:dyDescent="0.25">
      <c r="A13" s="3">
        <v>1012</v>
      </c>
      <c r="B13" s="3" t="s">
        <v>30</v>
      </c>
      <c r="C13" s="3" t="s">
        <v>4</v>
      </c>
      <c r="D13" s="3">
        <v>32</v>
      </c>
      <c r="E13" s="3" t="s">
        <v>31</v>
      </c>
      <c r="F13" s="3" t="s">
        <v>6</v>
      </c>
    </row>
    <row r="14" spans="1:6" ht="18" customHeight="1" x14ac:dyDescent="0.25">
      <c r="A14" s="3">
        <v>1013</v>
      </c>
      <c r="B14" s="3" t="s">
        <v>32</v>
      </c>
      <c r="C14" s="3" t="s">
        <v>4</v>
      </c>
      <c r="D14" s="3">
        <v>44</v>
      </c>
      <c r="E14" s="3" t="s">
        <v>33</v>
      </c>
      <c r="F14" s="3" t="s">
        <v>14</v>
      </c>
    </row>
    <row r="15" spans="1:6" ht="18" customHeight="1" x14ac:dyDescent="0.25">
      <c r="A15" s="3">
        <v>1014</v>
      </c>
      <c r="B15" s="3" t="s">
        <v>34</v>
      </c>
      <c r="C15" s="3" t="s">
        <v>12</v>
      </c>
      <c r="D15" s="3">
        <v>63</v>
      </c>
      <c r="E15" s="3" t="s">
        <v>35</v>
      </c>
      <c r="F15" s="3" t="s">
        <v>6</v>
      </c>
    </row>
    <row r="16" spans="1:6" ht="18" customHeight="1" x14ac:dyDescent="0.25">
      <c r="A16" s="3">
        <v>1015</v>
      </c>
      <c r="B16" s="3" t="s">
        <v>36</v>
      </c>
      <c r="C16" s="3" t="s">
        <v>4</v>
      </c>
      <c r="D16" s="3">
        <v>40</v>
      </c>
      <c r="E16" s="3" t="s">
        <v>37</v>
      </c>
      <c r="F16" s="3" t="s">
        <v>17</v>
      </c>
    </row>
    <row r="17" spans="1:6" ht="18" customHeight="1" x14ac:dyDescent="0.25">
      <c r="A17" s="3">
        <v>1016</v>
      </c>
      <c r="B17" s="3" t="s">
        <v>38</v>
      </c>
      <c r="C17" s="3" t="s">
        <v>4</v>
      </c>
      <c r="D17" s="3">
        <v>53</v>
      </c>
      <c r="E17" s="3" t="s">
        <v>39</v>
      </c>
      <c r="F17" s="3" t="s">
        <v>14</v>
      </c>
    </row>
    <row r="18" spans="1:6" ht="18" customHeight="1" x14ac:dyDescent="0.25">
      <c r="A18" s="3">
        <v>1017</v>
      </c>
      <c r="B18" s="3" t="s">
        <v>40</v>
      </c>
      <c r="C18" s="3" t="s">
        <v>12</v>
      </c>
      <c r="D18" s="3">
        <v>58</v>
      </c>
      <c r="E18" s="3" t="s">
        <v>41</v>
      </c>
      <c r="F18" s="3" t="s">
        <v>17</v>
      </c>
    </row>
    <row r="19" spans="1:6" ht="18" customHeight="1" x14ac:dyDescent="0.25">
      <c r="A19" s="3">
        <v>1018</v>
      </c>
      <c r="B19" s="3" t="s">
        <v>42</v>
      </c>
      <c r="C19" s="3" t="s">
        <v>12</v>
      </c>
      <c r="D19" s="3">
        <v>49</v>
      </c>
      <c r="E19" s="3" t="s">
        <v>43</v>
      </c>
      <c r="F19" s="3" t="s">
        <v>17</v>
      </c>
    </row>
    <row r="20" spans="1:6" ht="18" customHeight="1" x14ac:dyDescent="0.25">
      <c r="A20" s="3">
        <v>1019</v>
      </c>
      <c r="B20" s="3" t="s">
        <v>44</v>
      </c>
      <c r="C20" s="3" t="s">
        <v>12</v>
      </c>
      <c r="D20" s="3">
        <v>43</v>
      </c>
      <c r="E20" s="3" t="s">
        <v>45</v>
      </c>
      <c r="F20" s="3" t="s">
        <v>14</v>
      </c>
    </row>
    <row r="21" spans="1:6" ht="18" customHeight="1" x14ac:dyDescent="0.25">
      <c r="A21" s="3">
        <v>1020</v>
      </c>
      <c r="B21" s="3" t="s">
        <v>46</v>
      </c>
      <c r="C21" s="3" t="s">
        <v>4</v>
      </c>
      <c r="D21" s="3">
        <v>66</v>
      </c>
      <c r="E21" s="3" t="s">
        <v>47</v>
      </c>
      <c r="F21" s="3" t="s">
        <v>6</v>
      </c>
    </row>
    <row r="22" spans="1:6" ht="18" customHeight="1" x14ac:dyDescent="0.25">
      <c r="A22" s="3">
        <v>1021</v>
      </c>
      <c r="B22" s="3" t="s">
        <v>48</v>
      </c>
      <c r="C22" s="3" t="s">
        <v>4</v>
      </c>
      <c r="D22" s="3">
        <v>42</v>
      </c>
      <c r="E22" s="3" t="s">
        <v>49</v>
      </c>
      <c r="F22" s="3" t="s">
        <v>14</v>
      </c>
    </row>
    <row r="23" spans="1:6" ht="18" customHeight="1" x14ac:dyDescent="0.25">
      <c r="A23" s="3">
        <v>1022</v>
      </c>
      <c r="B23" s="3" t="s">
        <v>50</v>
      </c>
      <c r="C23" s="3" t="s">
        <v>12</v>
      </c>
      <c r="D23" s="3">
        <v>38</v>
      </c>
      <c r="E23" s="3" t="s">
        <v>51</v>
      </c>
      <c r="F23" s="3" t="s">
        <v>6</v>
      </c>
    </row>
    <row r="24" spans="1:6" ht="18" customHeight="1" x14ac:dyDescent="0.25">
      <c r="A24" s="3">
        <v>1023</v>
      </c>
      <c r="B24" s="3" t="s">
        <v>52</v>
      </c>
      <c r="C24" s="3" t="s">
        <v>4</v>
      </c>
      <c r="D24" s="3">
        <v>67</v>
      </c>
      <c r="E24" s="3" t="s">
        <v>53</v>
      </c>
      <c r="F24" s="3" t="s">
        <v>6</v>
      </c>
    </row>
    <row r="25" spans="1:6" ht="18" customHeight="1" x14ac:dyDescent="0.25">
      <c r="A25" s="3">
        <v>1024</v>
      </c>
      <c r="B25" s="3" t="s">
        <v>54</v>
      </c>
      <c r="C25" s="3" t="s">
        <v>12</v>
      </c>
      <c r="D25" s="3">
        <v>29</v>
      </c>
      <c r="E25" s="3" t="s">
        <v>55</v>
      </c>
      <c r="F25" s="3" t="s">
        <v>14</v>
      </c>
    </row>
    <row r="26" spans="1:6" ht="18" customHeight="1" x14ac:dyDescent="0.25">
      <c r="A26" s="3">
        <v>1025</v>
      </c>
      <c r="B26" s="3" t="s">
        <v>56</v>
      </c>
      <c r="C26" s="3" t="s">
        <v>4</v>
      </c>
      <c r="D26" s="3">
        <v>32</v>
      </c>
      <c r="E26" s="3" t="s">
        <v>57</v>
      </c>
      <c r="F26" s="3" t="s">
        <v>6</v>
      </c>
    </row>
    <row r="27" spans="1:6" ht="18" customHeight="1" x14ac:dyDescent="0.25">
      <c r="A27" s="3">
        <v>1026</v>
      </c>
      <c r="B27" s="3" t="s">
        <v>58</v>
      </c>
      <c r="C27" s="3" t="s">
        <v>12</v>
      </c>
      <c r="D27" s="3">
        <v>32</v>
      </c>
      <c r="E27" s="3" t="s">
        <v>59</v>
      </c>
      <c r="F27" s="3" t="s">
        <v>14</v>
      </c>
    </row>
    <row r="28" spans="1:6" ht="18" customHeight="1" x14ac:dyDescent="0.25">
      <c r="A28" s="3">
        <v>1027</v>
      </c>
      <c r="B28" s="3" t="s">
        <v>60</v>
      </c>
      <c r="C28" s="3" t="s">
        <v>4</v>
      </c>
      <c r="D28" s="3">
        <v>69</v>
      </c>
      <c r="E28" s="3" t="s">
        <v>61</v>
      </c>
      <c r="F28" s="3" t="s">
        <v>14</v>
      </c>
    </row>
    <row r="29" spans="1:6" ht="18" customHeight="1" x14ac:dyDescent="0.25">
      <c r="A29" s="3">
        <v>1028</v>
      </c>
      <c r="B29" s="3" t="s">
        <v>62</v>
      </c>
      <c r="C29" s="3" t="s">
        <v>4</v>
      </c>
      <c r="D29" s="3">
        <v>64</v>
      </c>
      <c r="E29" s="3" t="s">
        <v>63</v>
      </c>
      <c r="F29" s="3" t="s">
        <v>6</v>
      </c>
    </row>
    <row r="30" spans="1:6" ht="18" customHeight="1" x14ac:dyDescent="0.25">
      <c r="A30" s="3">
        <v>1029</v>
      </c>
      <c r="B30" s="3" t="s">
        <v>64</v>
      </c>
      <c r="C30" s="3" t="s">
        <v>4</v>
      </c>
      <c r="D30" s="3">
        <v>57</v>
      </c>
      <c r="E30" s="3" t="s">
        <v>65</v>
      </c>
      <c r="F30" s="3" t="s">
        <v>17</v>
      </c>
    </row>
    <row r="31" spans="1:6" ht="18" customHeight="1" x14ac:dyDescent="0.25">
      <c r="A31" s="4">
        <v>1030</v>
      </c>
      <c r="B31" s="4" t="s">
        <v>66</v>
      </c>
      <c r="C31" s="4" t="s">
        <v>4</v>
      </c>
      <c r="D31" s="4">
        <v>37</v>
      </c>
      <c r="E31" s="4" t="s">
        <v>67</v>
      </c>
      <c r="F31" s="4" t="s">
        <v>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CS</vt:lpstr>
      <vt:lpstr>Log</vt:lpstr>
      <vt:lpstr>customer</vt:lpstr>
      <vt:lpstr>테스트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2025-03-02T05:04:03Z</dcterms:created>
  <dcterms:modified xsi:type="dcterms:W3CDTF">2025-03-02T06:54:54Z</dcterms:modified>
</cp:coreProperties>
</file>