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5년\★★20250716_금융연수원_ChatGPT 이해 활용\02 교재\교재준비 v1.0\02 프롬프트 작성 연습\"/>
    </mc:Choice>
  </mc:AlternateContent>
  <xr:revisionPtr revIDLastSave="0" documentId="13_ncr:1_{E6D0C877-83B5-464C-8207-8C96CFDD6769}" xr6:coauthVersionLast="47" xr6:coauthVersionMax="47" xr10:uidLastSave="{00000000-0000-0000-0000-000000000000}"/>
  <bookViews>
    <workbookView xWindow="29220" yWindow="405" windowWidth="17550" windowHeight="15630" xr2:uid="{013CE367-5B1A-4D2C-967E-8DEFDA1134DB}"/>
  </bookViews>
  <sheets>
    <sheet name="SUM" sheetId="4" r:id="rId1"/>
    <sheet name="함수" sheetId="1" r:id="rId2"/>
    <sheet name="UDF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3" l="1"/>
  <c r="G5" i="3"/>
  <c r="G4" i="3"/>
  <c r="G3" i="3"/>
  <c r="G2" i="3"/>
  <c r="G5" i="1"/>
  <c r="G4" i="1" l="1"/>
  <c r="G6" i="1"/>
  <c r="G2" i="1"/>
  <c r="G3" i="1"/>
</calcChain>
</file>

<file path=xl/sharedStrings.xml><?xml version="1.0" encoding="utf-8"?>
<sst xmlns="http://schemas.openxmlformats.org/spreadsheetml/2006/main" count="67" uniqueCount="35">
  <si>
    <t>사과</t>
  </si>
  <si>
    <t>배</t>
  </si>
  <si>
    <t>딸기</t>
  </si>
  <si>
    <t>토마토</t>
  </si>
  <si>
    <t>복숭아</t>
  </si>
  <si>
    <t>품목</t>
    <phoneticPr fontId="2" type="noConversion"/>
  </si>
  <si>
    <t>분류</t>
    <phoneticPr fontId="2" type="noConversion"/>
  </si>
  <si>
    <t>브런치 사과 1+1 특가팩 (2kg × 2)</t>
  </si>
  <si>
    <t>껍질째 먹는 사과 기획세트 4kg</t>
  </si>
  <si>
    <t>고당도 사과 프리미엄 선물박스 5kg</t>
  </si>
  <si>
    <t>신고배 왕특선 혼합세트 7과 (선물포장)</t>
  </si>
  <si>
    <t>오늘의 배 3kg 실속팩</t>
  </si>
  <si>
    <t>햇배 골드라인 5입 기획상품</t>
  </si>
  <si>
    <t>설향 딸기 1kg 1+1 초특가 행사</t>
  </si>
  <si>
    <t>생딸기 프리미엄 선물세트 (대과) 2kg</t>
  </si>
  <si>
    <t>딸기 도시락팩 500g × 2 (소포장)</t>
  </si>
  <si>
    <t>방울토마토 가정용 기획박스 3kg</t>
  </si>
  <si>
    <t>대추토마토 프레시혼합팩 2kg (1+1)</t>
  </si>
  <si>
    <t>햇토마토 고당도세트 (브릭스 9 이상) 5kg</t>
  </si>
  <si>
    <t>청도복숭아 황도/백도 혼합선물세트 5kg</t>
  </si>
  <si>
    <t>복숭아 실속포장 6입 특가세트</t>
  </si>
  <si>
    <t>프리미엄 복숭아 고당도선별 1+1 팩</t>
  </si>
  <si>
    <t>아침愛사과 선물포장박스 4과</t>
    <phoneticPr fontId="2" type="noConversion"/>
  </si>
  <si>
    <t>딸기스낵팩 250g × 4 (유아 간식용)</t>
  </si>
  <si>
    <t>햇배 달콤기획 4kg (대과 + 실속혼합)</t>
  </si>
  <si>
    <t>토마토팩토리 1+1 방울토마토 혼합박스</t>
  </si>
  <si>
    <t>복숭아 한상자 5kg 골드세트 (선물용 쇼핑백 포함)</t>
  </si>
  <si>
    <t>재고액</t>
    <phoneticPr fontId="2" type="noConversion"/>
  </si>
  <si>
    <t>재고수량</t>
    <phoneticPr fontId="2" type="noConversion"/>
  </si>
  <si>
    <t>합계 재고액</t>
    <phoneticPr fontId="2" type="noConversion"/>
  </si>
  <si>
    <t>더할 값</t>
    <phoneticPr fontId="2" type="noConversion"/>
  </si>
  <si>
    <t>나눌 값</t>
    <phoneticPr fontId="2" type="noConversion"/>
  </si>
  <si>
    <t>결과 값</t>
    <phoneticPr fontId="2" type="noConversion"/>
  </si>
  <si>
    <t>?</t>
    <phoneticPr fontId="2" type="noConversion"/>
  </si>
  <si>
    <t>SUM(A2:A11)/C2 =?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</si>
</sst>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6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1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</border>
    </dxf>
    <dxf>
      <font>
        <b/>
        <color theme="1"/>
      </font>
    </dxf>
    <dxf>
      <font>
        <b/>
        <color theme="1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theme="1" tint="0.14996795556505021"/>
        </patternFill>
      </fill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1" tint="4.9989318521683403E-2"/>
      </font>
      <fill>
        <patternFill>
          <bgColor theme="0" tint="-0.14996795556505021"/>
        </patternFill>
      </fill>
    </dxf>
    <dxf>
      <font>
        <b val="0"/>
        <i val="0"/>
        <strike val="0"/>
        <color theme="1" tint="0.24994659260841701"/>
      </font>
      <fill>
        <patternFill>
          <bgColor theme="0"/>
        </patternFill>
      </fill>
      <border>
        <left/>
        <right/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</dxfs>
  <tableStyles count="2" defaultTableStyle="TableStyleMedium2" defaultPivotStyle="PivotStyleLight16">
    <tableStyle name="Style_JAchoi" pivot="0" count="2" xr9:uid="{F11E5482-8B9F-4C8F-A231-910C83C37264}">
      <tableStyleElement type="wholeTable" dxfId="30"/>
      <tableStyleElement type="headerRow" dxfId="29"/>
    </tableStyle>
    <tableStyle name="TableStyleLight1 2 2" pivot="0" count="9" xr9:uid="{ABF67B1F-0562-422D-82A3-2C9693B9B917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secondRowStripe" dxfId="22"/>
      <tableStyleElement type="firstColumnStripe" dxfId="21"/>
      <tableStyleElement type="secondColumn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1F00-E0A1-4A87-A348-572175E0F365}" name="입고표" displayName="입고표" ref="A1:D21" totalsRowShown="0" headerRowDxfId="19" dataDxfId="18">
  <autoFilter ref="A1:D21" xr:uid="{53501F00-E0A1-4A87-A348-572175E0F365}">
    <filterColumn colId="0" hiddenButton="1"/>
    <filterColumn colId="1" hiddenButton="1"/>
    <filterColumn colId="2" hiddenButton="1"/>
    <filterColumn colId="3" hiddenButton="1"/>
  </autoFilter>
  <tableColumns count="4">
    <tableColumn id="1" xr3:uid="{13AB549E-688C-442A-B060-65E744962DF2}" name="품목" dataDxfId="17"/>
    <tableColumn id="8" xr3:uid="{C4FF82A0-2538-48A2-A856-49E0A90AE120}" name="분류" dataDxfId="16"/>
    <tableColumn id="4" xr3:uid="{E83DFED8-DE31-4733-B7A2-3BC3AE53E5D8}" name="재고수량" dataDxfId="15"/>
    <tableColumn id="6" xr3:uid="{78EE596B-4C74-430C-84BE-779071CE7ADD}" name="재고액" dataDxfId="14" dataCellStyle="쉼표 [0]"/>
  </tableColumns>
  <tableStyleInfo name="Style_JAchoi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CF6EA-479C-4C0B-8037-F2D365DB5C3A}" name="가격" displayName="가격" ref="F1:G6" totalsRowShown="0" headerRowDxfId="13" dataDxfId="12">
  <autoFilter ref="F1:G6" xr:uid="{837CF6EA-479C-4C0B-8037-F2D365DB5C3A}">
    <filterColumn colId="0" hiddenButton="1"/>
    <filterColumn colId="1" hiddenButton="1"/>
  </autoFilter>
  <tableColumns count="2">
    <tableColumn id="1" xr3:uid="{273DF994-D255-4D3E-9A32-68B96B1D85D9}" name="분류" dataDxfId="11"/>
    <tableColumn id="2" xr3:uid="{BF74D6DD-970E-4F7A-98A4-C1710E184DED}" name="합계 재고액" dataDxfId="10" dataCellStyle="쉼표 [0]">
      <calculatedColumnFormula>SUMIF(입고표[분류],F2,입고표[재고액])</calculatedColumnFormula>
    </tableColumn>
  </tableColumns>
  <tableStyleInfo name="TableStyleLight1 2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C57653-F4DB-4161-BDBD-F3DC03E51B3F}" name="입고표_4" displayName="입고표_4" ref="A1:D21" totalsRowShown="0" headerRowDxfId="9" dataDxfId="8">
  <autoFilter ref="A1:D21" xr:uid="{53501F00-E0A1-4A87-A348-572175E0F365}">
    <filterColumn colId="0" hiddenButton="1"/>
    <filterColumn colId="1" hiddenButton="1"/>
    <filterColumn colId="2" hiddenButton="1"/>
    <filterColumn colId="3" hiddenButton="1"/>
  </autoFilter>
  <tableColumns count="4">
    <tableColumn id="1" xr3:uid="{A0D45792-4096-4EA1-B2E6-D914C0A61A1F}" name="품목" dataDxfId="7"/>
    <tableColumn id="8" xr3:uid="{3228D36F-021D-484B-AA23-831C9E204562}" name="분류" dataDxfId="6"/>
    <tableColumn id="4" xr3:uid="{AE37A078-11D9-463C-95E5-96663A87C4D5}" name="재고수량" dataDxfId="5"/>
    <tableColumn id="6" xr3:uid="{92F555A9-2FEC-4CDC-9FBC-BF866DF04D39}" name="재고액" dataDxfId="4" dataCellStyle="쉼표 [0]"/>
  </tableColumns>
  <tableStyleInfo name="Style_JAchoi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0DA24C-0282-4DF6-9A47-07CA17ABE83B}" name="가격_5" displayName="가격_5" ref="F1:G6" totalsRowShown="0" headerRowDxfId="3" dataDxfId="2">
  <autoFilter ref="F1:G6" xr:uid="{837CF6EA-479C-4C0B-8037-F2D365DB5C3A}">
    <filterColumn colId="0" hiddenButton="1"/>
    <filterColumn colId="1" hiddenButton="1"/>
  </autoFilter>
  <tableColumns count="2">
    <tableColumn id="1" xr3:uid="{9F5951DE-16D5-4968-AF44-45F2A0DD2B64}" name="분류" dataDxfId="1"/>
    <tableColumn id="2" xr3:uid="{5BB84581-5DEC-4E95-9D64-EA6071118D06}" name="합계 재고액" dataDxfId="0" dataCellStyle="쉼표 [0]">
      <calculatedColumnFormula>SUMIF(입고표_4[분류],F2,입고표_4[재고액])</calculatedColumnFormula>
    </tableColumn>
  </tableColumns>
  <tableStyleInfo name="TableStyleLight1 2 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07BB-C6CB-4070-B068-BA8E149BE9E1}">
  <dimension ref="A1:F11"/>
  <sheetViews>
    <sheetView showGridLines="0" tabSelected="1" workbookViewId="0">
      <selection activeCell="C7" sqref="C7"/>
    </sheetView>
  </sheetViews>
  <sheetFormatPr defaultRowHeight="21.95" customHeight="1" x14ac:dyDescent="0.25"/>
  <cols>
    <col min="1" max="5" width="13.42578125" customWidth="1"/>
  </cols>
  <sheetData>
    <row r="1" spans="1:6" ht="21.95" customHeight="1" x14ac:dyDescent="0.25">
      <c r="A1" s="9" t="s">
        <v>30</v>
      </c>
      <c r="B1" s="7"/>
      <c r="C1" s="9" t="s">
        <v>31</v>
      </c>
      <c r="D1" s="7"/>
      <c r="E1" s="9" t="s">
        <v>32</v>
      </c>
    </row>
    <row r="2" spans="1:6" ht="21.95" customHeight="1" x14ac:dyDescent="0.25">
      <c r="A2" s="8">
        <v>1</v>
      </c>
      <c r="B2" s="7"/>
      <c r="C2" s="8">
        <v>5</v>
      </c>
      <c r="D2" s="7"/>
      <c r="E2" s="11" t="s">
        <v>33</v>
      </c>
      <c r="F2" s="10" t="s">
        <v>34</v>
      </c>
    </row>
    <row r="3" spans="1:6" ht="21.95" customHeight="1" x14ac:dyDescent="0.25">
      <c r="A3" s="8">
        <v>2</v>
      </c>
      <c r="B3" s="7"/>
      <c r="C3" s="7"/>
      <c r="D3" s="7"/>
      <c r="E3" s="7"/>
    </row>
    <row r="4" spans="1:6" ht="21.95" customHeight="1" x14ac:dyDescent="0.25">
      <c r="A4" s="8">
        <v>3</v>
      </c>
      <c r="B4" s="7"/>
      <c r="C4" s="7"/>
      <c r="D4" s="7"/>
      <c r="E4" s="7"/>
    </row>
    <row r="5" spans="1:6" ht="21.95" customHeight="1" x14ac:dyDescent="0.25">
      <c r="A5" s="8">
        <v>4</v>
      </c>
      <c r="B5" s="7"/>
      <c r="D5" s="7"/>
      <c r="E5" s="7"/>
    </row>
    <row r="6" spans="1:6" ht="21.95" customHeight="1" x14ac:dyDescent="0.25">
      <c r="A6" s="8">
        <v>5</v>
      </c>
      <c r="B6" s="7"/>
      <c r="C6" s="7"/>
      <c r="D6" s="7"/>
      <c r="E6" s="7"/>
    </row>
    <row r="7" spans="1:6" ht="21.95" customHeight="1" x14ac:dyDescent="0.25">
      <c r="A7" s="8">
        <v>6</v>
      </c>
      <c r="B7" s="7"/>
      <c r="C7" s="7"/>
      <c r="D7" s="7"/>
      <c r="E7" s="7"/>
    </row>
    <row r="8" spans="1:6" ht="21.95" customHeight="1" x14ac:dyDescent="0.25">
      <c r="A8" s="8">
        <v>7</v>
      </c>
      <c r="B8" s="7"/>
      <c r="C8" s="7"/>
      <c r="D8" s="7"/>
      <c r="E8" s="7"/>
    </row>
    <row r="9" spans="1:6" ht="21.95" customHeight="1" x14ac:dyDescent="0.25">
      <c r="A9" s="8">
        <v>8</v>
      </c>
      <c r="B9" s="7"/>
      <c r="C9" s="7"/>
      <c r="D9" s="7"/>
      <c r="E9" s="7"/>
    </row>
    <row r="10" spans="1:6" ht="21.95" customHeight="1" x14ac:dyDescent="0.25">
      <c r="A10" s="8">
        <v>9</v>
      </c>
      <c r="B10" s="7"/>
      <c r="C10" s="7"/>
      <c r="D10" s="7"/>
      <c r="E10" s="7"/>
    </row>
    <row r="11" spans="1:6" ht="21.95" customHeight="1" x14ac:dyDescent="0.25">
      <c r="A11" s="8">
        <v>10</v>
      </c>
      <c r="B11" s="7"/>
      <c r="C11" s="7"/>
      <c r="D11" s="7"/>
      <c r="E11" s="7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8EBB-ABFA-4E53-A151-D3D6BF8F8EC6}">
  <dimension ref="A1:G21"/>
  <sheetViews>
    <sheetView showGridLines="0" workbookViewId="0">
      <selection activeCell="A4" sqref="A4"/>
    </sheetView>
  </sheetViews>
  <sheetFormatPr defaultRowHeight="21.95" customHeight="1" x14ac:dyDescent="0.25"/>
  <cols>
    <col min="1" max="1" width="44.5703125" customWidth="1"/>
    <col min="2" max="2" width="11.85546875" customWidth="1"/>
    <col min="4" max="4" width="11.5703125" customWidth="1"/>
    <col min="7" max="7" width="13.5703125" customWidth="1"/>
  </cols>
  <sheetData>
    <row r="1" spans="1:7" ht="21.95" customHeight="1" x14ac:dyDescent="0.25">
      <c r="A1" s="2" t="s">
        <v>5</v>
      </c>
      <c r="B1" s="2" t="s">
        <v>6</v>
      </c>
      <c r="C1" s="2" t="s">
        <v>28</v>
      </c>
      <c r="D1" s="2" t="s">
        <v>27</v>
      </c>
      <c r="E1" s="1"/>
      <c r="F1" s="2" t="s">
        <v>6</v>
      </c>
      <c r="G1" s="2" t="s">
        <v>29</v>
      </c>
    </row>
    <row r="2" spans="1:7" ht="21.95" customHeight="1" x14ac:dyDescent="0.25">
      <c r="A2" s="5" t="s">
        <v>7</v>
      </c>
      <c r="B2" s="3"/>
      <c r="C2" s="2">
        <v>19</v>
      </c>
      <c r="D2" s="4">
        <v>609900</v>
      </c>
      <c r="E2" s="1"/>
      <c r="F2" s="2" t="s">
        <v>0</v>
      </c>
      <c r="G2" s="6">
        <f>SUMIF(입고표[분류],F2,입고표[재고액])</f>
        <v>0</v>
      </c>
    </row>
    <row r="3" spans="1:7" ht="21.95" customHeight="1" x14ac:dyDescent="0.25">
      <c r="A3" s="5" t="s">
        <v>10</v>
      </c>
      <c r="B3" s="3"/>
      <c r="C3" s="2">
        <v>12</v>
      </c>
      <c r="D3" s="4">
        <v>378000</v>
      </c>
      <c r="E3" s="1"/>
      <c r="F3" s="2" t="s">
        <v>1</v>
      </c>
      <c r="G3" s="6">
        <f>SUMIF(입고표[분류],F3,입고표[재고액])</f>
        <v>0</v>
      </c>
    </row>
    <row r="4" spans="1:7" ht="21.95" customHeight="1" x14ac:dyDescent="0.25">
      <c r="A4" s="5" t="s">
        <v>13</v>
      </c>
      <c r="B4" s="3"/>
      <c r="C4" s="2">
        <v>10</v>
      </c>
      <c r="D4" s="4">
        <v>200000</v>
      </c>
      <c r="E4" s="1"/>
      <c r="F4" s="2" t="s">
        <v>2</v>
      </c>
      <c r="G4" s="6">
        <f>SUMIF(입고표[분류],F4,입고표[재고액])</f>
        <v>0</v>
      </c>
    </row>
    <row r="5" spans="1:7" ht="21.95" customHeight="1" x14ac:dyDescent="0.25">
      <c r="A5" s="5" t="s">
        <v>14</v>
      </c>
      <c r="B5" s="3"/>
      <c r="C5" s="2">
        <v>10</v>
      </c>
      <c r="D5" s="4">
        <v>200000</v>
      </c>
      <c r="E5" s="1"/>
      <c r="F5" s="2" t="s">
        <v>3</v>
      </c>
      <c r="G5" s="6">
        <f>SUMIF(입고표[분류],F5,입고표[재고액])</f>
        <v>0</v>
      </c>
    </row>
    <row r="6" spans="1:7" ht="21.95" customHeight="1" x14ac:dyDescent="0.25">
      <c r="A6" s="5" t="s">
        <v>18</v>
      </c>
      <c r="B6" s="3"/>
      <c r="C6" s="2">
        <v>26</v>
      </c>
      <c r="D6" s="4">
        <v>364000</v>
      </c>
      <c r="E6" s="1"/>
      <c r="F6" s="2" t="s">
        <v>4</v>
      </c>
      <c r="G6" s="6">
        <f>SUMIF(입고표[분류],F6,입고표[재고액])</f>
        <v>0</v>
      </c>
    </row>
    <row r="7" spans="1:7" ht="21.95" customHeight="1" x14ac:dyDescent="0.25">
      <c r="A7" s="5" t="s">
        <v>8</v>
      </c>
      <c r="B7" s="3"/>
      <c r="C7" s="2">
        <v>20</v>
      </c>
      <c r="D7" s="4">
        <v>642000</v>
      </c>
      <c r="E7" s="1"/>
      <c r="F7" s="1"/>
    </row>
    <row r="8" spans="1:7" ht="21.95" customHeight="1" x14ac:dyDescent="0.25">
      <c r="A8" s="5" t="s">
        <v>19</v>
      </c>
      <c r="B8" s="3"/>
      <c r="C8" s="2">
        <v>25</v>
      </c>
      <c r="D8" s="4">
        <v>450000</v>
      </c>
      <c r="E8" s="1"/>
      <c r="F8" s="1"/>
    </row>
    <row r="9" spans="1:7" ht="21.95" customHeight="1" x14ac:dyDescent="0.25">
      <c r="A9" s="5" t="s">
        <v>22</v>
      </c>
      <c r="B9" s="3"/>
      <c r="C9" s="2">
        <v>11</v>
      </c>
      <c r="D9" s="4">
        <v>353100</v>
      </c>
      <c r="E9" s="1"/>
      <c r="F9" s="1"/>
    </row>
    <row r="10" spans="1:7" ht="21.95" customHeight="1" x14ac:dyDescent="0.25">
      <c r="A10" s="5" t="s">
        <v>25</v>
      </c>
      <c r="B10" s="3"/>
      <c r="C10" s="2">
        <v>26</v>
      </c>
      <c r="D10" s="4">
        <v>364000</v>
      </c>
      <c r="E10" s="1"/>
      <c r="F10" s="1"/>
    </row>
    <row r="11" spans="1:7" ht="21.95" customHeight="1" x14ac:dyDescent="0.25">
      <c r="A11" s="5" t="s">
        <v>12</v>
      </c>
      <c r="B11" s="3"/>
      <c r="C11" s="2">
        <v>21</v>
      </c>
      <c r="D11" s="4">
        <v>661500</v>
      </c>
      <c r="E11" s="1"/>
      <c r="F11" s="1"/>
    </row>
    <row r="12" spans="1:7" ht="21.95" customHeight="1" x14ac:dyDescent="0.25">
      <c r="A12" s="5" t="s">
        <v>11</v>
      </c>
      <c r="B12" s="3"/>
      <c r="C12" s="2">
        <v>22</v>
      </c>
      <c r="D12" s="4">
        <v>693000</v>
      </c>
      <c r="E12" s="1"/>
      <c r="F12" s="1"/>
    </row>
    <row r="13" spans="1:7" ht="21.95" customHeight="1" x14ac:dyDescent="0.25">
      <c r="A13" s="5" t="s">
        <v>21</v>
      </c>
      <c r="B13" s="3"/>
      <c r="C13" s="2">
        <v>27</v>
      </c>
      <c r="D13" s="4">
        <v>486000</v>
      </c>
      <c r="E13" s="1"/>
      <c r="F13" s="1"/>
    </row>
    <row r="14" spans="1:7" ht="21.95" customHeight="1" x14ac:dyDescent="0.25">
      <c r="A14" s="5" t="s">
        <v>9</v>
      </c>
      <c r="B14" s="3"/>
      <c r="C14" s="2">
        <v>16</v>
      </c>
      <c r="D14" s="4">
        <v>513600</v>
      </c>
    </row>
    <row r="15" spans="1:7" ht="21.95" customHeight="1" x14ac:dyDescent="0.25">
      <c r="A15" s="5" t="s">
        <v>24</v>
      </c>
      <c r="B15" s="3"/>
      <c r="C15" s="2">
        <v>19</v>
      </c>
      <c r="D15" s="4">
        <v>598500</v>
      </c>
    </row>
    <row r="16" spans="1:7" ht="21.95" customHeight="1" x14ac:dyDescent="0.25">
      <c r="A16" s="5" t="s">
        <v>26</v>
      </c>
      <c r="B16" s="3"/>
      <c r="C16" s="2">
        <v>15</v>
      </c>
      <c r="D16" s="4">
        <v>270000</v>
      </c>
    </row>
    <row r="17" spans="1:4" ht="21.95" customHeight="1" x14ac:dyDescent="0.25">
      <c r="A17" s="5" t="s">
        <v>15</v>
      </c>
      <c r="B17" s="3"/>
      <c r="C17" s="2">
        <v>12</v>
      </c>
      <c r="D17" s="4">
        <v>240000</v>
      </c>
    </row>
    <row r="18" spans="1:4" ht="21.95" customHeight="1" x14ac:dyDescent="0.25">
      <c r="A18" s="5" t="s">
        <v>16</v>
      </c>
      <c r="B18" s="3"/>
      <c r="C18" s="2">
        <v>24</v>
      </c>
      <c r="D18" s="4">
        <v>336000</v>
      </c>
    </row>
    <row r="19" spans="1:4" ht="21.95" customHeight="1" x14ac:dyDescent="0.25">
      <c r="A19" s="5" t="s">
        <v>17</v>
      </c>
      <c r="B19" s="3"/>
      <c r="C19" s="2">
        <v>10</v>
      </c>
      <c r="D19" s="4">
        <v>140000</v>
      </c>
    </row>
    <row r="20" spans="1:4" ht="21.95" customHeight="1" x14ac:dyDescent="0.25">
      <c r="A20" s="5" t="s">
        <v>20</v>
      </c>
      <c r="B20" s="3"/>
      <c r="C20" s="2">
        <v>15</v>
      </c>
      <c r="D20" s="4">
        <v>270000</v>
      </c>
    </row>
    <row r="21" spans="1:4" ht="21.95" customHeight="1" x14ac:dyDescent="0.25">
      <c r="A21" s="5" t="s">
        <v>23</v>
      </c>
      <c r="B21" s="3"/>
      <c r="C21" s="2">
        <v>26</v>
      </c>
      <c r="D21" s="4">
        <v>520000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9A23-3249-4A30-BBC3-5A965EF40245}">
  <dimension ref="A1:G21"/>
  <sheetViews>
    <sheetView showGridLines="0" workbookViewId="0">
      <selection activeCell="A8" sqref="A8"/>
    </sheetView>
  </sheetViews>
  <sheetFormatPr defaultRowHeight="21.95" customHeight="1" x14ac:dyDescent="0.25"/>
  <cols>
    <col min="1" max="1" width="44.5703125" customWidth="1"/>
    <col min="2" max="2" width="11.85546875" customWidth="1"/>
    <col min="4" max="4" width="11.5703125" customWidth="1"/>
    <col min="7" max="7" width="13.5703125" customWidth="1"/>
  </cols>
  <sheetData>
    <row r="1" spans="1:7" ht="21.95" customHeight="1" x14ac:dyDescent="0.25">
      <c r="A1" s="2" t="s">
        <v>5</v>
      </c>
      <c r="B1" s="2" t="s">
        <v>6</v>
      </c>
      <c r="C1" s="2" t="s">
        <v>28</v>
      </c>
      <c r="D1" s="2" t="s">
        <v>27</v>
      </c>
      <c r="E1" s="1"/>
      <c r="F1" s="2" t="s">
        <v>6</v>
      </c>
      <c r="G1" s="2" t="s">
        <v>29</v>
      </c>
    </row>
    <row r="2" spans="1:7" ht="21.95" customHeight="1" x14ac:dyDescent="0.25">
      <c r="A2" s="5" t="s">
        <v>7</v>
      </c>
      <c r="B2" s="3"/>
      <c r="C2" s="2">
        <v>19</v>
      </c>
      <c r="D2" s="4">
        <v>609900</v>
      </c>
      <c r="E2" s="1"/>
      <c r="F2" s="2" t="s">
        <v>0</v>
      </c>
      <c r="G2" s="6">
        <f>SUMIF(입고표_4[분류],F2,입고표_4[재고액])</f>
        <v>0</v>
      </c>
    </row>
    <row r="3" spans="1:7" ht="21.95" customHeight="1" x14ac:dyDescent="0.25">
      <c r="A3" s="5" t="s">
        <v>10</v>
      </c>
      <c r="B3" s="3"/>
      <c r="C3" s="2">
        <v>12</v>
      </c>
      <c r="D3" s="4">
        <v>378000</v>
      </c>
      <c r="E3" s="1"/>
      <c r="F3" s="2" t="s">
        <v>1</v>
      </c>
      <c r="G3" s="6">
        <f>SUMIF(입고표_4[분류],F3,입고표_4[재고액])</f>
        <v>0</v>
      </c>
    </row>
    <row r="4" spans="1:7" ht="21.95" customHeight="1" x14ac:dyDescent="0.25">
      <c r="A4" s="5" t="s">
        <v>13</v>
      </c>
      <c r="B4" s="3"/>
      <c r="C4" s="2">
        <v>10</v>
      </c>
      <c r="D4" s="4">
        <v>200000</v>
      </c>
      <c r="E4" s="1"/>
      <c r="F4" s="2" t="s">
        <v>2</v>
      </c>
      <c r="G4" s="6">
        <f>SUMIF(입고표_4[분류],F4,입고표_4[재고액])</f>
        <v>0</v>
      </c>
    </row>
    <row r="5" spans="1:7" ht="21.95" customHeight="1" x14ac:dyDescent="0.25">
      <c r="A5" s="5" t="s">
        <v>14</v>
      </c>
      <c r="B5" s="3"/>
      <c r="C5" s="2">
        <v>10</v>
      </c>
      <c r="D5" s="4">
        <v>200000</v>
      </c>
      <c r="E5" s="1"/>
      <c r="F5" s="2" t="s">
        <v>3</v>
      </c>
      <c r="G5" s="6">
        <f>SUMIF(입고표_4[분류],F5,입고표_4[재고액])</f>
        <v>0</v>
      </c>
    </row>
    <row r="6" spans="1:7" ht="21.95" customHeight="1" x14ac:dyDescent="0.25">
      <c r="A6" s="5" t="s">
        <v>18</v>
      </c>
      <c r="B6" s="3"/>
      <c r="C6" s="2">
        <v>26</v>
      </c>
      <c r="D6" s="4">
        <v>364000</v>
      </c>
      <c r="E6" s="1"/>
      <c r="F6" s="2" t="s">
        <v>4</v>
      </c>
      <c r="G6" s="6">
        <f>SUMIF(입고표_4[분류],F6,입고표_4[재고액])</f>
        <v>0</v>
      </c>
    </row>
    <row r="7" spans="1:7" ht="21.95" customHeight="1" x14ac:dyDescent="0.25">
      <c r="A7" s="5" t="s">
        <v>8</v>
      </c>
      <c r="B7" s="3"/>
      <c r="C7" s="2">
        <v>20</v>
      </c>
      <c r="D7" s="4">
        <v>642000</v>
      </c>
      <c r="E7" s="1"/>
      <c r="F7" s="1"/>
    </row>
    <row r="8" spans="1:7" ht="21.95" customHeight="1" x14ac:dyDescent="0.25">
      <c r="A8" s="5" t="s">
        <v>19</v>
      </c>
      <c r="B8" s="3"/>
      <c r="C8" s="2">
        <v>25</v>
      </c>
      <c r="D8" s="4">
        <v>450000</v>
      </c>
      <c r="E8" s="1"/>
      <c r="F8" s="1"/>
    </row>
    <row r="9" spans="1:7" ht="21.95" customHeight="1" x14ac:dyDescent="0.25">
      <c r="A9" s="5" t="s">
        <v>22</v>
      </c>
      <c r="B9" s="3"/>
      <c r="C9" s="2">
        <v>11</v>
      </c>
      <c r="D9" s="4">
        <v>353100</v>
      </c>
      <c r="E9" s="1"/>
      <c r="F9" s="1"/>
    </row>
    <row r="10" spans="1:7" ht="21.95" customHeight="1" x14ac:dyDescent="0.25">
      <c r="A10" s="5" t="s">
        <v>25</v>
      </c>
      <c r="B10" s="3"/>
      <c r="C10" s="2">
        <v>26</v>
      </c>
      <c r="D10" s="4">
        <v>364000</v>
      </c>
      <c r="E10" s="1"/>
      <c r="F10" s="1"/>
    </row>
    <row r="11" spans="1:7" ht="21.95" customHeight="1" x14ac:dyDescent="0.25">
      <c r="A11" s="5" t="s">
        <v>12</v>
      </c>
      <c r="B11" s="3"/>
      <c r="C11" s="2">
        <v>21</v>
      </c>
      <c r="D11" s="4">
        <v>661500</v>
      </c>
      <c r="E11" s="1"/>
      <c r="F11" s="1"/>
    </row>
    <row r="12" spans="1:7" ht="21.95" customHeight="1" x14ac:dyDescent="0.25">
      <c r="A12" s="5" t="s">
        <v>11</v>
      </c>
      <c r="B12" s="3"/>
      <c r="C12" s="2">
        <v>22</v>
      </c>
      <c r="D12" s="4">
        <v>693000</v>
      </c>
      <c r="E12" s="1"/>
      <c r="F12" s="1"/>
    </row>
    <row r="13" spans="1:7" ht="21.95" customHeight="1" x14ac:dyDescent="0.25">
      <c r="A13" s="5" t="s">
        <v>21</v>
      </c>
      <c r="B13" s="3"/>
      <c r="C13" s="2">
        <v>27</v>
      </c>
      <c r="D13" s="4">
        <v>486000</v>
      </c>
      <c r="E13" s="1"/>
      <c r="F13" s="1"/>
    </row>
    <row r="14" spans="1:7" ht="21.95" customHeight="1" x14ac:dyDescent="0.25">
      <c r="A14" s="5" t="s">
        <v>9</v>
      </c>
      <c r="B14" s="3"/>
      <c r="C14" s="2">
        <v>16</v>
      </c>
      <c r="D14" s="4">
        <v>513600</v>
      </c>
    </row>
    <row r="15" spans="1:7" ht="21.95" customHeight="1" x14ac:dyDescent="0.25">
      <c r="A15" s="5" t="s">
        <v>24</v>
      </c>
      <c r="B15" s="3"/>
      <c r="C15" s="2">
        <v>19</v>
      </c>
      <c r="D15" s="4">
        <v>598500</v>
      </c>
    </row>
    <row r="16" spans="1:7" ht="21.95" customHeight="1" x14ac:dyDescent="0.25">
      <c r="A16" s="5" t="s">
        <v>26</v>
      </c>
      <c r="B16" s="3"/>
      <c r="C16" s="2">
        <v>15</v>
      </c>
      <c r="D16" s="4">
        <v>270000</v>
      </c>
    </row>
    <row r="17" spans="1:4" ht="21.95" customHeight="1" x14ac:dyDescent="0.25">
      <c r="A17" s="5" t="s">
        <v>15</v>
      </c>
      <c r="B17" s="3"/>
      <c r="C17" s="2">
        <v>12</v>
      </c>
      <c r="D17" s="4">
        <v>240000</v>
      </c>
    </row>
    <row r="18" spans="1:4" ht="21.95" customHeight="1" x14ac:dyDescent="0.25">
      <c r="A18" s="5" t="s">
        <v>16</v>
      </c>
      <c r="B18" s="3"/>
      <c r="C18" s="2">
        <v>24</v>
      </c>
      <c r="D18" s="4">
        <v>336000</v>
      </c>
    </row>
    <row r="19" spans="1:4" ht="21.95" customHeight="1" x14ac:dyDescent="0.25">
      <c r="A19" s="5" t="s">
        <v>17</v>
      </c>
      <c r="B19" s="3"/>
      <c r="C19" s="2">
        <v>10</v>
      </c>
      <c r="D19" s="4">
        <v>140000</v>
      </c>
    </row>
    <row r="20" spans="1:4" ht="21.95" customHeight="1" x14ac:dyDescent="0.25">
      <c r="A20" s="5" t="s">
        <v>20</v>
      </c>
      <c r="B20" s="3"/>
      <c r="C20" s="2">
        <v>15</v>
      </c>
      <c r="D20" s="4">
        <v>270000</v>
      </c>
    </row>
    <row r="21" spans="1:4" ht="21.95" customHeight="1" x14ac:dyDescent="0.25">
      <c r="A21" s="5" t="s">
        <v>23</v>
      </c>
      <c r="B21" s="3"/>
      <c r="C21" s="2">
        <v>26</v>
      </c>
      <c r="D21" s="4">
        <v>520000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</vt:lpstr>
      <vt:lpstr>함수</vt:lpstr>
      <vt:lpstr>UDF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2025-05-17T08:01:01Z</dcterms:created>
  <dcterms:modified xsi:type="dcterms:W3CDTF">2025-07-13T11:15:01Z</dcterms:modified>
</cp:coreProperties>
</file>